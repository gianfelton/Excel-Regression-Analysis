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rego\Desktop\"/>
    </mc:Choice>
  </mc:AlternateContent>
  <xr:revisionPtr revIDLastSave="0" documentId="13_ncr:1_{B8182132-EDC5-42AA-92BC-8831074A0B8F}" xr6:coauthVersionLast="45" xr6:coauthVersionMax="45" xr10:uidLastSave="{00000000-0000-0000-0000-000000000000}"/>
  <bookViews>
    <workbookView xWindow="-96" yWindow="-96" windowWidth="15168" windowHeight="10176" xr2:uid="{6F2FA1D1-503C-4ECB-9C03-EB77ED9C0E46}"/>
  </bookViews>
  <sheets>
    <sheet name="Regression" sheetId="2" r:id="rId1"/>
  </sheets>
  <externalReferences>
    <externalReference r:id="rId2"/>
  </externalReferences>
  <definedNames>
    <definedName name="solver_adj" localSheetId="0" hidden="1">Regression!$E$2:$E$3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Regression!$F$2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4" i="2" l="1"/>
  <c r="L33" i="2"/>
  <c r="C3" i="2"/>
  <c r="D3" i="2" s="1"/>
  <c r="C4" i="2"/>
  <c r="D4" i="2" s="1"/>
  <c r="C5" i="2"/>
  <c r="D5" i="2" s="1"/>
  <c r="C6" i="2"/>
  <c r="D6" i="2" s="1"/>
  <c r="C7" i="2"/>
  <c r="D7" i="2" s="1"/>
  <c r="C8" i="2"/>
  <c r="D8" i="2" s="1"/>
  <c r="C9" i="2"/>
  <c r="D9" i="2" s="1"/>
  <c r="C10" i="2"/>
  <c r="D10" i="2" s="1"/>
  <c r="C11" i="2"/>
  <c r="D11" i="2" s="1"/>
  <c r="C12" i="2"/>
  <c r="D12" i="2" s="1"/>
  <c r="C13" i="2"/>
  <c r="D13" i="2" s="1"/>
  <c r="C14" i="2"/>
  <c r="D14" i="2" s="1"/>
  <c r="C15" i="2"/>
  <c r="D15" i="2" s="1"/>
  <c r="C16" i="2"/>
  <c r="D16" i="2" s="1"/>
  <c r="C17" i="2"/>
  <c r="D17" i="2" s="1"/>
  <c r="C18" i="2"/>
  <c r="D18" i="2" s="1"/>
  <c r="C19" i="2"/>
  <c r="D19" i="2" s="1"/>
  <c r="C20" i="2"/>
  <c r="D20" i="2" s="1"/>
  <c r="C21" i="2"/>
  <c r="D21" i="2" s="1"/>
  <c r="C2" i="2"/>
  <c r="D2" i="2" s="1"/>
  <c r="L25" i="2" a="1"/>
  <c r="L30" i="2" l="1" a="1"/>
  <c r="L30" i="2" s="1"/>
  <c r="F2" i="2"/>
  <c r="L29" i="2" s="1"/>
  <c r="L26" i="2" a="1"/>
  <c r="L26" i="2" s="1"/>
  <c r="L27" i="2" a="1"/>
  <c r="L27" i="2" s="1"/>
  <c r="L28" i="2" a="1"/>
  <c r="L28" i="2" s="1"/>
  <c r="L25" i="2"/>
  <c r="L37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<sst xmlns="http://schemas.openxmlformats.org/spreadsheetml/2006/main" count="43" uniqueCount="43">
  <si>
    <t>y = a*x+b</t>
  </si>
  <si>
    <t>y = a*exp(b*x)</t>
  </si>
  <si>
    <t>y = a*x^2 + b*x + c</t>
  </si>
  <si>
    <t>y = a*x^b</t>
  </si>
  <si>
    <t>Avrami Equation:</t>
  </si>
  <si>
    <t>Linear Regression:</t>
  </si>
  <si>
    <t>Exponential Regression:</t>
  </si>
  <si>
    <t>Polynomial Regression:</t>
  </si>
  <si>
    <t>Power Regression:</t>
  </si>
  <si>
    <t xml:space="preserve">Cubic Regression: </t>
  </si>
  <si>
    <t>Algorithm</t>
  </si>
  <si>
    <t>Fitted Line</t>
  </si>
  <si>
    <t>Residuals Squared</t>
  </si>
  <si>
    <t>Constants</t>
  </si>
  <si>
    <t>Residuals Squared Sum</t>
  </si>
  <si>
    <t>Predict For</t>
  </si>
  <si>
    <t>Prediction</t>
  </si>
  <si>
    <t>y = a*(1-(exp(-b*x^c))</t>
  </si>
  <si>
    <t>Equation</t>
  </si>
  <si>
    <t xml:space="preserve">y = a*x*3+b*x*2+c*x+d </t>
  </si>
  <si>
    <t>Min Error</t>
  </si>
  <si>
    <t>Max Error</t>
  </si>
  <si>
    <t>Mean Absolute Error</t>
  </si>
  <si>
    <t>Median Absolute Error</t>
  </si>
  <si>
    <t>RMSE</t>
  </si>
  <si>
    <t>R2</t>
  </si>
  <si>
    <t>Adjusted R2</t>
  </si>
  <si>
    <t>Significance F</t>
  </si>
  <si>
    <t>MSE</t>
  </si>
  <si>
    <t>Average distance from line</t>
  </si>
  <si>
    <t>Median distance from line</t>
  </si>
  <si>
    <t>Min distance from line</t>
  </si>
  <si>
    <t>Max distance from line</t>
  </si>
  <si>
    <t>Mean squared distance from line</t>
  </si>
  <si>
    <t>Root mean squared distance from line</t>
  </si>
  <si>
    <t>Qty</t>
  </si>
  <si>
    <t>Price</t>
  </si>
  <si>
    <t>Statistical significance (0.05 threshold)</t>
  </si>
  <si>
    <t>% of variation in Ys explained by Xs</t>
  </si>
  <si>
    <t>Model Metrics - Predictions</t>
  </si>
  <si>
    <t>Model Metrics - Knowns</t>
  </si>
  <si>
    <t>Select Algorithm</t>
  </si>
  <si>
    <t>Power Regression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</si>
</sst>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#0.0000######"/>
  </numFmts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9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2" borderId="0" xfId="0" applyFont="1" applyFill="1"/>
    <xf numFmtId="0" fontId="1" fillId="3" borderId="0" xfId="0" applyFont="1" applyFill="1"/>
    <xf numFmtId="0" fontId="1" fillId="2" borderId="0" xfId="0" applyFont="1" applyFill="1" applyAlignment="1">
      <alignment horizontal="center"/>
    </xf>
    <xf numFmtId="0" fontId="0" fillId="0" borderId="0" xfId="0" applyAlignment="1"/>
    <xf numFmtId="2" fontId="0" fillId="0" borderId="0" xfId="0" applyNumberFormat="1"/>
    <xf numFmtId="0" fontId="0" fillId="0" borderId="1" xfId="0" applyBorder="1" applyAlignment="1">
      <alignment horizontal="right"/>
    </xf>
    <xf numFmtId="0" fontId="0" fillId="0" borderId="1" xfId="0" applyBorder="1"/>
    <xf numFmtId="2" fontId="1" fillId="2" borderId="0" xfId="0" applyNumberFormat="1" applyFont="1" applyFill="1"/>
    <xf numFmtId="0" fontId="0" fillId="0" borderId="1" xfId="0" applyBorder="1" applyAlignment="1">
      <alignment horizontal="center"/>
    </xf>
    <xf numFmtId="0" fontId="1" fillId="3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2" borderId="0" xfId="0" applyFont="1" applyFill="1" applyAlignment="1">
      <alignment horizontal="center"/>
    </xf>
    <xf numFmtId="164" fontId="0" fillId="0" borderId="1" xfId="0" applyNumberFormat="1" applyBorder="1" applyAlignment="1">
      <alignment horizontal="center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Price Per Qty Model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Regression!$B$1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Regression!$A$2:$A$21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Regression!$B$2:$B$21</c:f>
              <c:numCache>
                <c:formatCode>General</c:formatCode>
                <c:ptCount val="20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5</c:v>
                </c:pt>
                <c:pt idx="4">
                  <c:v>5</c:v>
                </c:pt>
                <c:pt idx="5">
                  <c:v>7</c:v>
                </c:pt>
                <c:pt idx="6">
                  <c:v>8</c:v>
                </c:pt>
                <c:pt idx="7">
                  <c:v>10</c:v>
                </c:pt>
                <c:pt idx="8">
                  <c:v>12</c:v>
                </c:pt>
                <c:pt idx="9">
                  <c:v>12</c:v>
                </c:pt>
                <c:pt idx="10">
                  <c:v>14</c:v>
                </c:pt>
                <c:pt idx="11">
                  <c:v>15</c:v>
                </c:pt>
                <c:pt idx="12">
                  <c:v>18</c:v>
                </c:pt>
                <c:pt idx="13">
                  <c:v>21</c:v>
                </c:pt>
                <c:pt idx="14">
                  <c:v>25</c:v>
                </c:pt>
                <c:pt idx="15">
                  <c:v>28</c:v>
                </c:pt>
                <c:pt idx="16">
                  <c:v>30</c:v>
                </c:pt>
                <c:pt idx="17">
                  <c:v>32</c:v>
                </c:pt>
                <c:pt idx="18">
                  <c:v>36</c:v>
                </c:pt>
                <c:pt idx="19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16-4DDD-8563-BCE8589DD960}"/>
            </c:ext>
          </c:extLst>
        </c:ser>
        <c:ser>
          <c:idx val="1"/>
          <c:order val="1"/>
          <c:tx>
            <c:strRef>
              <c:f>Regression!$J$2</c:f>
              <c:strCache>
                <c:ptCount val="1"/>
                <c:pt idx="0">
                  <c:v>Power Regression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Regression!$A$2:$A$21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Regression!$C$2:$C$21</c:f>
              <c:numCache>
                <c:formatCode>General</c:formatCode>
                <c:ptCount val="20"/>
                <c:pt idx="0">
                  <c:v>0.37420694614803557</c:v>
                </c:pt>
                <c:pt idx="1">
                  <c:v>1.0927529960241567</c:v>
                </c:pt>
                <c:pt idx="2">
                  <c:v>2.0453587715372228</c:v>
                </c:pt>
                <c:pt idx="3">
                  <c:v>3.191039403761851</c:v>
                </c:pt>
                <c:pt idx="4">
                  <c:v>4.5056844535070724</c:v>
                </c:pt>
                <c:pt idx="5">
                  <c:v>5.972823189277193</c:v>
                </c:pt>
                <c:pt idx="6">
                  <c:v>7.5802468979368873</c:v>
                </c:pt>
                <c:pt idx="7">
                  <c:v>9.3184210095139246</c:v>
                </c:pt>
                <c:pt idx="8">
                  <c:v>11.179622792595824</c:v>
                </c:pt>
                <c:pt idx="9">
                  <c:v>13.15742595478587</c:v>
                </c:pt>
                <c:pt idx="10">
                  <c:v>15.246370587572518</c:v>
                </c:pt>
                <c:pt idx="11">
                  <c:v>17.44174046470857</c:v>
                </c:pt>
                <c:pt idx="12">
                  <c:v>19.739406477712613</c:v>
                </c:pt>
                <c:pt idx="13">
                  <c:v>22.135712855117561</c:v>
                </c:pt>
                <c:pt idx="14">
                  <c:v>24.62739217864188</c:v>
                </c:pt>
                <c:pt idx="15">
                  <c:v>27.211500430920701</c:v>
                </c:pt>
                <c:pt idx="16">
                  <c:v>29.885366370164654</c:v>
                </c:pt>
                <c:pt idx="17">
                  <c:v>32.646551398316852</c:v>
                </c:pt>
                <c:pt idx="18">
                  <c:v>35.492817274901874</c:v>
                </c:pt>
                <c:pt idx="19">
                  <c:v>38.422099803487932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D16-4DDD-8563-BCE8589DD9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0706816"/>
        <c:axId val="1889741312"/>
      </c:scatterChart>
      <c:valAx>
        <c:axId val="1660706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9741312"/>
        <c:crosses val="autoZero"/>
        <c:crossBetween val="midCat"/>
      </c:valAx>
      <c:valAx>
        <c:axId val="1889741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07068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464820</xdr:colOff>
          <xdr:row>0</xdr:row>
          <xdr:rowOff>72390</xdr:rowOff>
        </xdr:from>
        <xdr:to>
          <xdr:col>14</xdr:col>
          <xdr:colOff>213360</xdr:colOff>
          <xdr:row>1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Build Model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327660</xdr:colOff>
          <xdr:row>0</xdr:row>
          <xdr:rowOff>72390</xdr:rowOff>
        </xdr:from>
        <xdr:to>
          <xdr:col>15</xdr:col>
          <xdr:colOff>716280</xdr:colOff>
          <xdr:row>1</xdr:row>
          <xdr:rowOff>133350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Predict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0</xdr:colOff>
      <xdr:row>6</xdr:row>
      <xdr:rowOff>0</xdr:rowOff>
    </xdr:from>
    <xdr:to>
      <xdr:col>15</xdr:col>
      <xdr:colOff>1036320</xdr:colOff>
      <xdr:row>21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9F2C15FA-9517-48B3-8B82-C62CE8F3A7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XRealStat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"/>
      <sheetName val="Wilcoxon Table"/>
      <sheetName val="Mann Table"/>
      <sheetName val="Runs Table"/>
      <sheetName val="KS Table"/>
      <sheetName val="KS2 Table"/>
      <sheetName val="Lil Table"/>
      <sheetName val="AD Table"/>
      <sheetName val="AD2 Table"/>
      <sheetName val="SW Table"/>
      <sheetName val="Stud. Q Table"/>
      <sheetName val="Stud. Q Table 2"/>
      <sheetName val="Sp Rho Table"/>
      <sheetName val="Ken Tau Table"/>
      <sheetName val="Durbin Table"/>
      <sheetName val="Dunnett Table"/>
      <sheetName val="Prime"/>
    </sheetNames>
    <definedNames>
      <definedName name="MEAN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0A1BE8-6B3D-411E-961D-047180883212}">
  <sheetPr codeName="Sheet2"/>
  <dimension ref="A1:S37"/>
  <sheetViews>
    <sheetView tabSelected="1" zoomScale="70" zoomScaleNormal="70" workbookViewId="0"/>
  </sheetViews>
  <sheetFormatPr defaultRowHeight="14.4" x14ac:dyDescent="0.55000000000000004"/>
  <cols>
    <col min="1" max="2" width="10.26171875" customWidth="1"/>
    <col min="3" max="3" width="11.68359375" hidden="1" customWidth="1"/>
    <col min="4" max="4" width="10.20703125" hidden="1" customWidth="1"/>
    <col min="5" max="5" width="11.68359375" hidden="1" customWidth="1"/>
    <col min="6" max="6" width="19.5234375" hidden="1" customWidth="1"/>
    <col min="7" max="7" width="10.26171875" customWidth="1"/>
    <col min="8" max="8" width="10.26171875" style="5" customWidth="1"/>
    <col min="16" max="16" width="14.3671875" customWidth="1"/>
    <col min="18" max="18" width="19.41796875" bestFit="1" customWidth="1"/>
    <col min="19" max="19" width="18.9453125" bestFit="1" customWidth="1"/>
  </cols>
  <sheetData>
    <row r="1" spans="1:19" x14ac:dyDescent="0.55000000000000004">
      <c r="A1" s="2" t="s">
        <v>35</v>
      </c>
      <c r="B1" s="2" t="s">
        <v>36</v>
      </c>
      <c r="C1" s="1" t="s">
        <v>11</v>
      </c>
      <c r="D1" s="1" t="s">
        <v>12</v>
      </c>
      <c r="E1" s="1" t="s">
        <v>13</v>
      </c>
      <c r="F1" s="1" t="s">
        <v>14</v>
      </c>
      <c r="G1" s="2" t="s">
        <v>15</v>
      </c>
      <c r="H1" s="8" t="s">
        <v>16</v>
      </c>
      <c r="J1" s="10" t="s">
        <v>41</v>
      </c>
      <c r="K1" s="10"/>
      <c r="L1" s="10"/>
      <c r="R1" s="3" t="s">
        <v>10</v>
      </c>
      <c r="S1" s="3" t="s">
        <v>18</v>
      </c>
    </row>
    <row r="2" spans="1:19" x14ac:dyDescent="0.55000000000000004">
      <c r="A2">
        <v>1</v>
      </c>
      <c r="B2">
        <v>2</v>
      </c>
      <c r="C2">
        <f>$E$2 * A2 ^ $E$3</f>
        <v>0.37420694614803557</v>
      </c>
      <c r="D2">
        <f>($B2 - $C2)^2</f>
        <v>2.6432030539532967</v>
      </c>
      <c r="E2">
        <v>0.37420694614803557</v>
      </c>
      <c r="F2">
        <f>SUM(D2:D21)</f>
        <v>49.729305938944769</v>
      </c>
      <c r="J2" s="9" t="s">
        <v>42</v>
      </c>
      <c r="K2" s="9"/>
      <c r="L2" s="9"/>
      <c r="R2" s="6" t="s">
        <v>5</v>
      </c>
      <c r="S2" s="7" t="s">
        <v>0</v>
      </c>
    </row>
    <row r="3" spans="1:19" x14ac:dyDescent="0.55000000000000004">
      <c r="A3">
        <v>2</v>
      </c>
      <c r="B3">
        <v>4</v>
      </c>
      <c r="C3">
        <f t="shared" ref="C3:C21" si="0">$E$2 * A3 ^ $E$3</f>
        <v>1.0927529960241567</v>
      </c>
      <c r="D3">
        <f t="shared" ref="D3:D21" si="1">($B3 - $C3)^2</f>
        <v>8.4520851421265188</v>
      </c>
      <c r="E3">
        <v>1.5460590898938491</v>
      </c>
      <c r="R3" s="6" t="s">
        <v>6</v>
      </c>
      <c r="S3" s="7" t="s">
        <v>1</v>
      </c>
    </row>
    <row r="4" spans="1:19" x14ac:dyDescent="0.55000000000000004">
      <c r="A4">
        <v>3</v>
      </c>
      <c r="B4">
        <v>6</v>
      </c>
      <c r="C4">
        <f t="shared" si="0"/>
        <v>2.0453587715372228</v>
      </c>
      <c r="D4">
        <f t="shared" si="1"/>
        <v>15.639187245857583</v>
      </c>
      <c r="R4" s="6" t="s">
        <v>7</v>
      </c>
      <c r="S4" s="7" t="s">
        <v>2</v>
      </c>
    </row>
    <row r="5" spans="1:19" x14ac:dyDescent="0.55000000000000004">
      <c r="A5">
        <v>4</v>
      </c>
      <c r="B5">
        <v>5</v>
      </c>
      <c r="C5">
        <f t="shared" si="0"/>
        <v>3.191039403761851</v>
      </c>
      <c r="D5">
        <f t="shared" si="1"/>
        <v>3.2723384387422794</v>
      </c>
      <c r="R5" s="6" t="s">
        <v>8</v>
      </c>
      <c r="S5" s="7" t="s">
        <v>3</v>
      </c>
    </row>
    <row r="6" spans="1:19" x14ac:dyDescent="0.55000000000000004">
      <c r="A6">
        <v>5</v>
      </c>
      <c r="B6">
        <v>5</v>
      </c>
      <c r="C6">
        <f t="shared" si="0"/>
        <v>4.5056844535070724</v>
      </c>
      <c r="D6">
        <f t="shared" si="1"/>
        <v>0.24434785950460169</v>
      </c>
      <c r="R6" s="6" t="s">
        <v>9</v>
      </c>
      <c r="S6" s="7" t="s">
        <v>19</v>
      </c>
    </row>
    <row r="7" spans="1:19" x14ac:dyDescent="0.55000000000000004">
      <c r="A7">
        <v>6</v>
      </c>
      <c r="B7">
        <v>7</v>
      </c>
      <c r="C7">
        <f t="shared" si="0"/>
        <v>5.972823189277193</v>
      </c>
      <c r="D7">
        <f t="shared" si="1"/>
        <v>1.0550922004866772</v>
      </c>
      <c r="R7" s="6" t="s">
        <v>4</v>
      </c>
      <c r="S7" s="7" t="s">
        <v>17</v>
      </c>
    </row>
    <row r="8" spans="1:19" x14ac:dyDescent="0.55000000000000004">
      <c r="A8">
        <v>7</v>
      </c>
      <c r="B8">
        <v>8</v>
      </c>
      <c r="C8">
        <f t="shared" si="0"/>
        <v>7.5802468979368873</v>
      </c>
      <c r="D8">
        <f t="shared" si="1"/>
        <v>0.17619266669160588</v>
      </c>
    </row>
    <row r="9" spans="1:19" x14ac:dyDescent="0.55000000000000004">
      <c r="A9">
        <v>8</v>
      </c>
      <c r="B9">
        <v>10</v>
      </c>
      <c r="C9">
        <f t="shared" si="0"/>
        <v>9.3184210095139246</v>
      </c>
      <c r="D9">
        <f t="shared" si="1"/>
        <v>0.46454992027201764</v>
      </c>
    </row>
    <row r="10" spans="1:19" x14ac:dyDescent="0.55000000000000004">
      <c r="A10">
        <v>9</v>
      </c>
      <c r="B10">
        <v>12</v>
      </c>
      <c r="C10">
        <f t="shared" si="0"/>
        <v>11.179622792595824</v>
      </c>
      <c r="D10">
        <f t="shared" si="1"/>
        <v>0.67301876242827474</v>
      </c>
    </row>
    <row r="11" spans="1:19" x14ac:dyDescent="0.55000000000000004">
      <c r="A11">
        <v>10</v>
      </c>
      <c r="B11">
        <v>12</v>
      </c>
      <c r="C11">
        <f t="shared" si="0"/>
        <v>13.15742595478587</v>
      </c>
      <c r="D11">
        <f t="shared" si="1"/>
        <v>1.3396348408119825</v>
      </c>
    </row>
    <row r="12" spans="1:19" x14ac:dyDescent="0.55000000000000004">
      <c r="A12">
        <v>11</v>
      </c>
      <c r="B12">
        <v>14</v>
      </c>
      <c r="C12">
        <f t="shared" si="0"/>
        <v>15.246370587572518</v>
      </c>
      <c r="D12">
        <f t="shared" si="1"/>
        <v>1.5534396415658625</v>
      </c>
    </row>
    <row r="13" spans="1:19" x14ac:dyDescent="0.55000000000000004">
      <c r="A13">
        <v>12</v>
      </c>
      <c r="B13">
        <v>15</v>
      </c>
      <c r="C13">
        <f t="shared" si="0"/>
        <v>17.44174046470857</v>
      </c>
      <c r="D13">
        <f t="shared" si="1"/>
        <v>5.9620964969952217</v>
      </c>
    </row>
    <row r="14" spans="1:19" x14ac:dyDescent="0.55000000000000004">
      <c r="A14">
        <v>13</v>
      </c>
      <c r="B14">
        <v>18</v>
      </c>
      <c r="C14">
        <f t="shared" si="0"/>
        <v>19.739406477712613</v>
      </c>
      <c r="D14">
        <f t="shared" si="1"/>
        <v>3.0255348947085996</v>
      </c>
    </row>
    <row r="15" spans="1:19" x14ac:dyDescent="0.55000000000000004">
      <c r="A15">
        <v>14</v>
      </c>
      <c r="B15">
        <v>21</v>
      </c>
      <c r="C15">
        <f t="shared" si="0"/>
        <v>22.135712855117561</v>
      </c>
      <c r="D15">
        <f t="shared" si="1"/>
        <v>1.2898436892792813</v>
      </c>
    </row>
    <row r="16" spans="1:19" x14ac:dyDescent="0.55000000000000004">
      <c r="A16">
        <v>15</v>
      </c>
      <c r="B16">
        <v>25</v>
      </c>
      <c r="C16">
        <f t="shared" si="0"/>
        <v>24.62739217864188</v>
      </c>
      <c r="D16">
        <f t="shared" si="1"/>
        <v>0.1388365885372444</v>
      </c>
    </row>
    <row r="17" spans="1:16" x14ac:dyDescent="0.55000000000000004">
      <c r="A17">
        <v>16</v>
      </c>
      <c r="B17">
        <v>28</v>
      </c>
      <c r="C17">
        <f t="shared" si="0"/>
        <v>27.211500430920701</v>
      </c>
      <c r="D17">
        <f t="shared" si="1"/>
        <v>0.62173157043824034</v>
      </c>
    </row>
    <row r="18" spans="1:16" x14ac:dyDescent="0.55000000000000004">
      <c r="A18">
        <v>17</v>
      </c>
      <c r="B18">
        <v>30</v>
      </c>
      <c r="C18">
        <f t="shared" si="0"/>
        <v>29.885366370164654</v>
      </c>
      <c r="D18">
        <f t="shared" si="1"/>
        <v>1.3140869089227148E-2</v>
      </c>
    </row>
    <row r="19" spans="1:16" x14ac:dyDescent="0.55000000000000004">
      <c r="A19">
        <v>18</v>
      </c>
      <c r="B19">
        <v>32</v>
      </c>
      <c r="C19">
        <f t="shared" si="0"/>
        <v>32.646551398316852</v>
      </c>
      <c r="D19">
        <f t="shared" si="1"/>
        <v>0.41802871066547664</v>
      </c>
    </row>
    <row r="20" spans="1:16" x14ac:dyDescent="0.55000000000000004">
      <c r="A20">
        <v>19</v>
      </c>
      <c r="B20">
        <v>36</v>
      </c>
      <c r="C20">
        <f t="shared" si="0"/>
        <v>35.492817274901874</v>
      </c>
      <c r="D20">
        <f t="shared" si="1"/>
        <v>0.25723431663796104</v>
      </c>
    </row>
    <row r="21" spans="1:16" x14ac:dyDescent="0.55000000000000004">
      <c r="A21">
        <v>20</v>
      </c>
      <c r="B21">
        <v>40</v>
      </c>
      <c r="C21">
        <f t="shared" si="0"/>
        <v>38.422099803487932</v>
      </c>
      <c r="D21">
        <f t="shared" si="1"/>
        <v>2.4897690301528241</v>
      </c>
    </row>
    <row r="23" spans="1:16" x14ac:dyDescent="0.55000000000000004">
      <c r="K23" s="11"/>
      <c r="L23" s="11"/>
    </row>
    <row r="24" spans="1:16" x14ac:dyDescent="0.55000000000000004">
      <c r="J24" s="12" t="s">
        <v>39</v>
      </c>
      <c r="K24" s="12"/>
      <c r="L24" s="12"/>
      <c r="M24" s="12"/>
      <c r="N24" s="12"/>
      <c r="O24" s="12"/>
      <c r="P24" s="12"/>
    </row>
    <row r="25" spans="1:16" x14ac:dyDescent="0.55000000000000004">
      <c r="J25" s="9" t="s">
        <v>22</v>
      </c>
      <c r="K25" s="9"/>
      <c r="L25" s="9" cm="1">
        <f t="array" ref="L25">[1]!MEAN(ABS($B$2:$B$21-$C$2:$C$21))</f>
        <v>1.2733937609897388</v>
      </c>
      <c r="M25" s="9"/>
      <c r="N25" s="9" t="s">
        <v>29</v>
      </c>
      <c r="O25" s="9"/>
      <c r="P25" s="9"/>
    </row>
    <row r="26" spans="1:16" x14ac:dyDescent="0.55000000000000004">
      <c r="J26" s="9" t="s">
        <v>23</v>
      </c>
      <c r="K26" s="9"/>
      <c r="L26" s="9" cm="1">
        <f t="array" ref="L26">MEDIAN(ABS($B$2:$B$21-$C$2:$C$21))</f>
        <v>1.0814448329201838</v>
      </c>
      <c r="M26" s="9"/>
      <c r="N26" s="9" t="s">
        <v>30</v>
      </c>
      <c r="O26" s="9"/>
      <c r="P26" s="9"/>
    </row>
    <row r="27" spans="1:16" x14ac:dyDescent="0.55000000000000004">
      <c r="J27" s="9" t="s">
        <v>20</v>
      </c>
      <c r="K27" s="9"/>
      <c r="L27" s="9" cm="1">
        <f t="array" ref="L27">MIN($B$2:$B$21-$C$2:$C$21)</f>
        <v>-2.4417404647085696</v>
      </c>
      <c r="M27" s="9"/>
      <c r="N27" s="9" t="s">
        <v>31</v>
      </c>
      <c r="O27" s="9"/>
      <c r="P27" s="9"/>
    </row>
    <row r="28" spans="1:16" x14ac:dyDescent="0.55000000000000004">
      <c r="J28" s="9" t="s">
        <v>21</v>
      </c>
      <c r="K28" s="9"/>
      <c r="L28" s="9" cm="1">
        <f t="array" ref="L28">MAX($B$2:$B$21-$C$2:$C$21)</f>
        <v>3.9546412284627772</v>
      </c>
      <c r="M28" s="9"/>
      <c r="N28" s="9" t="s">
        <v>32</v>
      </c>
      <c r="O28" s="9"/>
      <c r="P28" s="9"/>
    </row>
    <row r="29" spans="1:16" x14ac:dyDescent="0.55000000000000004">
      <c r="J29" s="9" t="s">
        <v>28</v>
      </c>
      <c r="K29" s="9"/>
      <c r="L29" s="9">
        <f>F2/COUNTA(A2:A21)</f>
        <v>2.4864652969472383</v>
      </c>
      <c r="M29" s="9"/>
      <c r="N29" s="9" t="s">
        <v>33</v>
      </c>
      <c r="O29" s="9"/>
      <c r="P29" s="9"/>
    </row>
    <row r="30" spans="1:16" x14ac:dyDescent="0.55000000000000004">
      <c r="J30" s="9" t="s">
        <v>24</v>
      </c>
      <c r="K30" s="9"/>
      <c r="L30" s="9" cm="1">
        <f t="array" ref="L30">SQRT(SUMSQ(SQRT(D2:D21))/COUNTA(D2:D21))</f>
        <v>1.576852972520659</v>
      </c>
      <c r="M30" s="9"/>
      <c r="N30" s="9" t="s">
        <v>34</v>
      </c>
      <c r="O30" s="9"/>
      <c r="P30" s="9"/>
    </row>
    <row r="31" spans="1:16" x14ac:dyDescent="0.55000000000000004">
      <c r="J31" s="4"/>
      <c r="K31" s="4"/>
      <c r="L31" s="4"/>
      <c r="M31" s="4"/>
      <c r="N31" s="4"/>
      <c r="O31" s="4"/>
      <c r="P31" s="4"/>
    </row>
    <row r="32" spans="1:16" x14ac:dyDescent="0.55000000000000004">
      <c r="J32" s="12" t="s">
        <v>40</v>
      </c>
      <c r="K32" s="12"/>
      <c r="L32" s="12"/>
      <c r="M32" s="12"/>
      <c r="N32" s="12"/>
      <c r="O32" s="12"/>
      <c r="P32" s="12"/>
    </row>
    <row r="33" spans="10:16" x14ac:dyDescent="0.55000000000000004">
      <c r="J33" s="9" t="s">
        <v>25</v>
      </c>
      <c r="K33" s="9"/>
      <c r="L33" s="9">
        <f>RSQ(B2:B21,A2:A21)</f>
        <v>0.93969557187497244</v>
      </c>
      <c r="M33" s="9"/>
      <c r="N33" s="9" t="s">
        <v>38</v>
      </c>
      <c r="O33" s="9"/>
      <c r="P33" s="9"/>
    </row>
    <row r="34" spans="10:16" x14ac:dyDescent="0.55000000000000004">
      <c r="J34" s="9" t="s">
        <v>27</v>
      </c>
      <c r="K34" s="9"/>
      <c r="L34" s="13">
        <f>ROUND(FDIST(INDEX(LINEST($B$2:$B$21,$A$2:$A$21,1,1),4,1),1,INDEX(LINEST($B$2:$B$21,$A$2:$A$21,1,1),4,2)), 5)</f>
        <v>0</v>
      </c>
      <c r="M34" s="13"/>
      <c r="N34" s="9" t="s">
        <v>37</v>
      </c>
      <c r="O34" s="9"/>
      <c r="P34" s="9"/>
    </row>
    <row r="37" spans="10:16" x14ac:dyDescent="0.55000000000000004">
      <c r="J37" s="14" t="s">
        <v>26</v>
      </c>
      <c r="K37" s="14"/>
      <c r="L37" s="14">
        <f>1-(1-L33) * ((30-1)/(30-(1+1)))</f>
        <v>0.93754184229907855</v>
      </c>
      <c r="M37" s="14"/>
      <c r="N37" s="14"/>
      <c r="O37" s="14"/>
      <c r="P37" s="14"/>
    </row>
  </sheetData>
  <mergeCells count="32">
    <mergeCell ref="J37:K37"/>
    <mergeCell ref="L37:M37"/>
    <mergeCell ref="N37:P37"/>
    <mergeCell ref="J34:K34"/>
    <mergeCell ref="N34:P34"/>
    <mergeCell ref="J32:P32"/>
    <mergeCell ref="J33:K33"/>
    <mergeCell ref="L33:M33"/>
    <mergeCell ref="N33:P33"/>
    <mergeCell ref="L34:M34"/>
    <mergeCell ref="N30:P30"/>
    <mergeCell ref="J29:K29"/>
    <mergeCell ref="J30:K30"/>
    <mergeCell ref="L29:M29"/>
    <mergeCell ref="L30:M30"/>
    <mergeCell ref="N29:P29"/>
    <mergeCell ref="J27:K27"/>
    <mergeCell ref="J28:K28"/>
    <mergeCell ref="J1:L1"/>
    <mergeCell ref="K23:L23"/>
    <mergeCell ref="J2:L2"/>
    <mergeCell ref="J24:P24"/>
    <mergeCell ref="J25:K25"/>
    <mergeCell ref="J26:K26"/>
    <mergeCell ref="L25:M25"/>
    <mergeCell ref="N25:P25"/>
    <mergeCell ref="L26:M26"/>
    <mergeCell ref="L27:M27"/>
    <mergeCell ref="L28:M28"/>
    <mergeCell ref="N26:P26"/>
    <mergeCell ref="N27:P27"/>
    <mergeCell ref="N28:P28"/>
  </mergeCells>
  <dataValidations count="1">
    <dataValidation type="list" allowBlank="1" showInputMessage="1" showErrorMessage="1" sqref="J2" xr:uid="{8EE24125-78DB-4892-83FA-C05961BA7672}">
      <formula1>"Linear Regression, Exponential Regression, Polynomial Regression, Power Regression, Cubic Regression, Avrami Equation"</formula1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uildModel">
                <anchor moveWithCells="1" sizeWithCells="1">
                  <from>
                    <xdr:col>12</xdr:col>
                    <xdr:colOff>464820</xdr:colOff>
                    <xdr:row>0</xdr:row>
                    <xdr:rowOff>72390</xdr:rowOff>
                  </from>
                  <to>
                    <xdr:col>14</xdr:col>
                    <xdr:colOff>213360</xdr:colOff>
                    <xdr:row>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MakePredictions">
                <anchor moveWithCells="1" sizeWithCells="1">
                  <from>
                    <xdr:col>14</xdr:col>
                    <xdr:colOff>327660</xdr:colOff>
                    <xdr:row>0</xdr:row>
                    <xdr:rowOff>72390</xdr:rowOff>
                  </from>
                  <to>
                    <xdr:col>15</xdr:col>
                    <xdr:colOff>716280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Regression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 Felton</dc:creator>
  <cp:lastModifiedBy>Ian Felton</cp:lastModifiedBy>
  <dcterms:created xsi:type="dcterms:W3CDTF">2020-03-06T14:35:45Z</dcterms:created>
  <dcterms:modified xsi:type="dcterms:W3CDTF">2020-03-09T00:18:51Z</dcterms:modified>
</cp:coreProperties>
</file>